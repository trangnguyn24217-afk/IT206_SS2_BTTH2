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leminhson/Documents/Agile Scrum/Session 1/"/>
    </mc:Choice>
  </mc:AlternateContent>
  <xr:revisionPtr revIDLastSave="0" documentId="13_ncr:1_{178F4FBC-C4ED-E74E-B20E-DF331D14B90A}" xr6:coauthVersionLast="47" xr6:coauthVersionMax="47" xr10:uidLastSave="{00000000-0000-0000-0000-000000000000}"/>
  <bookViews>
    <workbookView xWindow="0" yWindow="0" windowWidth="38400" windowHeight="21600" tabRatio="500" xr2:uid="{00000000-000D-0000-FFFF-FFFF00000000}"/>
  </bookViews>
  <sheets>
    <sheet name="Du_lieu" sheetId="1" r:id="rId1"/>
    <sheet name="Buoc1_2" sheetId="2" r:id="rId2"/>
    <sheet name="Buoc3_4" sheetId="3" r:id="rId3"/>
    <sheet name="Kiem_tra"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2" i="4" l="1"/>
  <c r="D12" i="4" s="1"/>
  <c r="C10" i="4"/>
  <c r="D10" i="4" s="1"/>
  <c r="C19" i="3"/>
  <c r="D19" i="3" s="1"/>
  <c r="C18" i="3"/>
  <c r="D18" i="3" s="1"/>
  <c r="C17" i="3"/>
  <c r="D17" i="3" s="1"/>
  <c r="C13" i="3"/>
  <c r="B19" i="3" s="1"/>
  <c r="B13" i="3"/>
  <c r="C12" i="3"/>
  <c r="B12" i="3"/>
  <c r="C11" i="3"/>
  <c r="B11" i="3"/>
  <c r="C10" i="3"/>
  <c r="B10" i="3"/>
  <c r="C9" i="3"/>
  <c r="B9" i="3"/>
  <c r="C8" i="3"/>
  <c r="B17" i="3" s="1"/>
  <c r="B8" i="3"/>
  <c r="C7" i="3"/>
  <c r="B7" i="3"/>
  <c r="C6" i="3"/>
  <c r="B18" i="3" s="1"/>
  <c r="B6" i="3"/>
  <c r="E13" i="2"/>
  <c r="F13" i="2" s="1"/>
  <c r="D13" i="2"/>
  <c r="C13" i="2"/>
  <c r="E12" i="2"/>
  <c r="F12" i="2" s="1"/>
  <c r="D12" i="2"/>
  <c r="C12" i="2"/>
  <c r="E11" i="2"/>
  <c r="F11" i="2" s="1"/>
  <c r="D11" i="2"/>
  <c r="C11" i="2"/>
  <c r="E10" i="2"/>
  <c r="F10" i="2" s="1"/>
  <c r="D10" i="2"/>
  <c r="C10" i="2"/>
  <c r="E9" i="2"/>
  <c r="F9" i="2" s="1"/>
  <c r="D9" i="2"/>
  <c r="C9" i="2"/>
  <c r="E8" i="2"/>
  <c r="F8" i="2" s="1"/>
  <c r="D8" i="2"/>
  <c r="C8" i="2"/>
  <c r="E7" i="2"/>
  <c r="F7" i="2" s="1"/>
  <c r="D7" i="2"/>
  <c r="C7" i="2"/>
  <c r="E6" i="2"/>
  <c r="F6" i="2" s="1"/>
  <c r="D6" i="2"/>
  <c r="C6" i="2"/>
  <c r="E5" i="2"/>
  <c r="F5" i="2" s="1"/>
  <c r="D5" i="2"/>
  <c r="C5" i="2"/>
  <c r="E4" i="2"/>
  <c r="F4" i="2" s="1"/>
  <c r="D4" i="2"/>
  <c r="C4" i="2"/>
  <c r="E19" i="3" l="1"/>
  <c r="C26" i="3"/>
  <c r="E17" i="3"/>
  <c r="B20" i="3"/>
  <c r="C14" i="4" s="1"/>
  <c r="D14" i="4" s="1"/>
  <c r="C24" i="3"/>
  <c r="C13" i="4"/>
  <c r="D13" i="4" s="1"/>
  <c r="C11" i="4"/>
  <c r="D11" i="4" s="1"/>
  <c r="E18" i="3"/>
  <c r="C25" i="3"/>
  <c r="C5" i="4"/>
  <c r="D5" i="4" s="1"/>
  <c r="G13" i="2"/>
  <c r="G12" i="2"/>
  <c r="C7" i="4" s="1"/>
  <c r="D7" i="4" s="1"/>
  <c r="C4" i="4"/>
  <c r="D4" i="4" s="1"/>
  <c r="G11" i="2"/>
  <c r="D13" i="3"/>
  <c r="G10" i="2"/>
  <c r="D12" i="3"/>
  <c r="D11" i="3"/>
  <c r="G9" i="2"/>
  <c r="G8" i="2"/>
  <c r="D10" i="3"/>
  <c r="D9" i="3"/>
  <c r="G7" i="2"/>
  <c r="D8" i="3"/>
  <c r="G6" i="2"/>
  <c r="G5" i="2"/>
  <c r="D7" i="3"/>
  <c r="D6" i="3"/>
  <c r="G4" i="2"/>
  <c r="D15" i="2" l="1"/>
  <c r="C6" i="4"/>
  <c r="D6" i="4" s="1"/>
  <c r="C8" i="4" l="1"/>
  <c r="D8" i="4" s="1"/>
  <c r="C9" i="4"/>
  <c r="D9" i="4" s="1"/>
</calcChain>
</file>

<file path=xl/sharedStrings.xml><?xml version="1.0" encoding="utf-8"?>
<sst xmlns="http://schemas.openxmlformats.org/spreadsheetml/2006/main" count="107" uniqueCount="74">
  <si>
    <t>Dữ liệu đầu vào – MediBook làm lại theo hướng linh hoạt</t>
  </si>
  <si>
    <t>Mã</t>
  </si>
  <si>
    <t>Tính năng</t>
  </si>
  <si>
    <t>Effort</t>
  </si>
  <si>
    <t>Giá trị</t>
  </si>
  <si>
    <t>F01</t>
  </si>
  <si>
    <t>Đăng ký / đăng nhập bằng số điện thoại</t>
  </si>
  <si>
    <t>F02</t>
  </si>
  <si>
    <t>Tìm bác sĩ theo chuyên khoa</t>
  </si>
  <si>
    <t>F03</t>
  </si>
  <si>
    <t>Đặt lịch và chọn khung giờ</t>
  </si>
  <si>
    <t>F04</t>
  </si>
  <si>
    <t>Xác nhận lịch hẹn qua SMS</t>
  </si>
  <si>
    <t>F05</t>
  </si>
  <si>
    <t>Thanh toán online qua ví điện tử</t>
  </si>
  <si>
    <t>F06</t>
  </si>
  <si>
    <t>Đánh giá và chấm sao bác sĩ</t>
  </si>
  <si>
    <t>F07</t>
  </si>
  <si>
    <t>Xem lịch sử khám bệnh</t>
  </si>
  <si>
    <t>F08</t>
  </si>
  <si>
    <t>Nhắc lịch tự động trước 24 giờ</t>
  </si>
  <si>
    <t>F09</t>
  </si>
  <si>
    <t>Tư vấn video call với bác sĩ</t>
  </si>
  <si>
    <t>F10</t>
  </si>
  <si>
    <t>Bảng thống kê doanh thu cho phòng khám</t>
  </si>
  <si>
    <t>Sức chứa mỗi chu kỳ 2 tuần (điểm)</t>
  </si>
  <si>
    <t>Bước 1–2: Xếp hạng theo tỷ lệ giá trị / effort và loại 2 tính năng thấp nhất</t>
  </si>
  <si>
    <t>Thứ tự xếp giảm dần theo tỷ lệ; khi bằng nhau thì tính năng có giá trị cao hơn đứng trước, rồi theo mã. Tỷ lệ = ROUND(Giá trị / Effort, 2).</t>
  </si>
  <si>
    <t>Thứ tự</t>
  </si>
  <si>
    <t>Tỷ lệ giá trị / effort</t>
  </si>
  <si>
    <t>Quyết định</t>
  </si>
  <si>
    <t>Tổng effort các tính năng giữ lại</t>
  </si>
  <si>
    <t>Lý do loại (mỗi tính năng đúng 1 câu, dựa trên tương quan giá trị và nỗ lực)</t>
  </si>
  <si>
    <t>Tính năng bị loại</t>
  </si>
  <si>
    <t>Lý do loại (1 câu)</t>
  </si>
  <si>
    <t>Tỷ lệ chỉ 0,15 vì phải bỏ ra 13 điểm nỗ lực, gần bằng cả Chu kỳ 1, mà chỉ nhận về giá trị 2/5, thấp hơn mọi tính năng được giữ lại.</t>
  </si>
  <si>
    <t>Tỷ lệ chỉ 0,13 (thấp nhất danh sách) vì tốn 8 điểm nỗ lực mà chỉ đạt giá trị 1/5 trên thang 5.</t>
  </si>
  <si>
    <t>Bước 3–4: Lộ trình theo chu kỳ 2 tuần, mỗi chu kỳ ra một phần mềm chạy được</t>
  </si>
  <si>
    <t>Ô chữ xanh ở cột "Chu kỳ" là quyết định xếp lịch (có thể đổi để thử); tổng điểm tự tính lại.</t>
  </si>
  <si>
    <t>BƯỚC 3 – Xếp các tính năng còn lại vào chu kỳ (theo thứ tự tỷ lệ giảm dần)</t>
  </si>
  <si>
    <t>Tỷ lệ</t>
  </si>
  <si>
    <t>Chu kỳ</t>
  </si>
  <si>
    <t>Tổng điểm từng chu kỳ</t>
  </si>
  <si>
    <t>Tổng điểm</t>
  </si>
  <si>
    <t>Sức chứa</t>
  </si>
  <si>
    <t>Còn trống</t>
  </si>
  <si>
    <t>Kiểm tra</t>
  </si>
  <si>
    <t>Tổng</t>
  </si>
  <si>
    <t>BƯỚC 4 – Lộ trình (mỗi chu kỳ một dòng)</t>
  </si>
  <si>
    <t>Danh sách tính năng</t>
  </si>
  <si>
    <t>Giá trị khách hàng nhận được sau chu kỳ (1 câu)</t>
  </si>
  <si>
    <t>F01 Đăng nhập bằng số điện thoại; F02 Tìm bác sĩ theo chuyên khoa; F03 Đặt lịch và chọn khung giờ</t>
  </si>
  <si>
    <t>Bệnh nhân đã tự đăng nhập, tìm được bác sĩ theo chuyên khoa và đặt được lịch khám có chọn khung giờ, tức một ứng dụng đặt khám dùng được từ đầu đến cuối.</t>
  </si>
  <si>
    <t>F04 Xác nhận lịch hẹn qua SMS; F08 Nhắc lịch trước 24 giờ; F07 Xem lịch sử khám bệnh; F06 Đánh giá và chấm sao bác sĩ</t>
  </si>
  <si>
    <t>Bệnh nhân nhận SMS xác nhận và nhắc lịch trước 24 giờ nên ít quên hẹn, đồng thời xem lại được lịch sử khám và chấm sao bác sĩ sau khi khám.</t>
  </si>
  <si>
    <t>F05 Thanh toán online qua ví điện tử</t>
  </si>
  <si>
    <t>Bệnh nhân thanh toán phí khám ngay trên ứng dụng bằng ví điện tử, không cần trả tại quầy khi đến khám.</t>
  </si>
  <si>
    <t>Đối chiếu bảng kiểm (tự động)</t>
  </si>
  <si>
    <t>Tiêu chí</t>
  </si>
  <si>
    <t>Kỳ vọng</t>
  </si>
  <si>
    <t>Thực tế (công thức)</t>
  </si>
  <si>
    <t>Kết quả</t>
  </si>
  <si>
    <t>Tỷ lệ F09</t>
  </si>
  <si>
    <t>Tỷ lệ F10</t>
  </si>
  <si>
    <t>Số tính năng bị loại</t>
  </si>
  <si>
    <t>F09 và F10 đúng là hai tính năng bị loại (số khớp)</t>
  </si>
  <si>
    <t>Tổng effort còn lại (điểm)</t>
  </si>
  <si>
    <t>Số chu kỳ tối thiểu = làm tròn lên (effort còn lại / sức chứa)</t>
  </si>
  <si>
    <t>Số chu kỳ trong lộ trình</t>
  </si>
  <si>
    <t>Tổng điểm Chu kỳ 1</t>
  </si>
  <si>
    <t>Chu kỳ 1 gồm đúng F01, F02, F03 (số mã khớp)</t>
  </si>
  <si>
    <t>Tổng điểm lớn nhất của một chu kỳ (không vượt sức chứa)</t>
  </si>
  <si>
    <t>Tổng điểm ba chu kỳ bằng tổng effort còn lại</t>
  </si>
  <si>
    <t>Kỳ vọng lấy từ bảng kiểm của đề bài (chữ xanh). Dòng "Tổng điểm lớn nhất" có kỳ vọng là sức chứa tối đa 20 điểm.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</si>
</sst>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b/>
      <sz val="14"/>
      <color rgb="FF1F4E79"/>
      <name val="Arial"/>
      <family val="2"/>
    </font>
    <font>
      <i/>
      <sz val="9"/>
      <color rgb="FF595959"/>
      <name val="Arial"/>
      <family val="2"/>
    </font>
    <font>
      <b/>
      <sz val="10"/>
      <color rgb="FFFFFFFF"/>
      <name val="Arial"/>
      <family val="2"/>
    </font>
    <font>
      <b/>
      <sz val="10"/>
      <name val="Arial"/>
      <family val="2"/>
    </font>
    <font>
      <sz val="10"/>
      <color rgb="FF0000FF"/>
      <name val="Arial"/>
      <family val="2"/>
    </font>
    <font>
      <sz val="10"/>
      <name val="Arial"/>
      <family val="2"/>
    </font>
    <font>
      <b/>
      <sz val="11"/>
      <color rgb="FF1F4E79"/>
      <name val="Arial"/>
      <family val="2"/>
    </font>
  </fonts>
  <fills count="5">
    <fill>
      <patternFill patternType="none"/>
    </fill>
    <fill>
      <patternFill patternType="gray125"/>
    </fill>
    <fill>
      <patternFill patternType="solid">
        <fgColor rgb="FF1F4E79"/>
        <bgColor rgb="FF003366"/>
      </patternFill>
    </fill>
    <fill>
      <patternFill patternType="solid">
        <fgColor rgb="FFDEEAF6"/>
        <bgColor rgb="FFCCFFFF"/>
      </patternFill>
    </fill>
    <fill>
      <patternFill patternType="solid">
        <fgColor rgb="FFFBE4D5"/>
        <bgColor rgb="FFDEEAF6"/>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24">
    <xf numFmtId="0" fontId="0" fillId="0" borderId="0" xfId="0"/>
    <xf numFmtId="1" fontId="4" fillId="3" borderId="1" xfId="0" applyNumberFormat="1" applyFont="1" applyFill="1" applyBorder="1" applyAlignment="1">
      <alignment horizontal="center" vertical="center" wrapText="1"/>
    </xf>
    <xf numFmtId="0" fontId="6" fillId="0" borderId="1" xfId="0" applyFont="1" applyBorder="1" applyAlignment="1">
      <alignment vertical="center" wrapText="1"/>
    </xf>
    <xf numFmtId="0" fontId="6" fillId="4" borderId="1" xfId="0" applyFont="1" applyFill="1" applyBorder="1" applyAlignment="1">
      <alignment vertical="center" wrapText="1"/>
    </xf>
    <xf numFmtId="0" fontId="3" fillId="2" borderId="1" xfId="0" applyFont="1" applyFill="1" applyBorder="1" applyAlignment="1">
      <alignment horizontal="center" vertical="center" wrapText="1"/>
    </xf>
    <xf numFmtId="0" fontId="4" fillId="3" borderId="1" xfId="0" applyFont="1" applyFill="1" applyBorder="1" applyAlignment="1">
      <alignment vertical="center" wrapText="1"/>
    </xf>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vertical="center" wrapText="1"/>
    </xf>
    <xf numFmtId="1" fontId="5" fillId="0" borderId="1" xfId="0" applyNumberFormat="1" applyFont="1" applyBorder="1" applyAlignment="1">
      <alignment horizontal="center" vertical="center" wrapText="1"/>
    </xf>
    <xf numFmtId="1" fontId="5" fillId="3" borderId="1" xfId="0" applyNumberFormat="1" applyFont="1" applyFill="1" applyBorder="1" applyAlignment="1">
      <alignment horizontal="center" vertical="center" wrapText="1"/>
    </xf>
    <xf numFmtId="1" fontId="6" fillId="0" borderId="1" xfId="0" applyNumberFormat="1" applyFont="1" applyBorder="1" applyAlignment="1">
      <alignment horizontal="center" vertical="center" wrapText="1"/>
    </xf>
    <xf numFmtId="0" fontId="6" fillId="0" borderId="1" xfId="0" applyFont="1" applyBorder="1" applyAlignment="1">
      <alignment vertical="center" wrapText="1"/>
    </xf>
    <xf numFmtId="2" fontId="4" fillId="0" borderId="1" xfId="0" applyNumberFormat="1" applyFont="1" applyBorder="1" applyAlignment="1">
      <alignment horizontal="center" vertical="center" wrapText="1"/>
    </xf>
    <xf numFmtId="1" fontId="4" fillId="3" borderId="1" xfId="0" applyNumberFormat="1" applyFont="1" applyFill="1" applyBorder="1" applyAlignment="1">
      <alignment horizontal="center" vertical="center" wrapText="1"/>
    </xf>
    <xf numFmtId="0" fontId="7" fillId="0" borderId="0" xfId="0" applyFont="1"/>
    <xf numFmtId="0" fontId="4" fillId="4" borderId="1" xfId="0" applyFont="1" applyFill="1" applyBorder="1" applyAlignment="1">
      <alignment horizontal="center" vertical="center" wrapText="1"/>
    </xf>
    <xf numFmtId="2" fontId="6" fillId="0" borderId="1" xfId="0" applyNumberFormat="1" applyFont="1" applyBorder="1" applyAlignment="1">
      <alignment horizontal="center" vertical="center" wrapText="1"/>
    </xf>
    <xf numFmtId="1" fontId="4" fillId="0" borderId="1" xfId="0" applyNumberFormat="1" applyFont="1" applyBorder="1" applyAlignment="1">
      <alignment horizontal="center" vertical="center" wrapText="1"/>
    </xf>
    <xf numFmtId="0" fontId="4" fillId="3" borderId="1" xfId="0" applyFont="1" applyFill="1" applyBorder="1" applyAlignment="1">
      <alignment horizontal="center" vertical="center" wrapText="1"/>
    </xf>
    <xf numFmtId="0" fontId="4" fillId="0" borderId="1" xfId="0" applyFont="1" applyBorder="1" applyAlignment="1">
      <alignment vertical="center" wrapText="1"/>
    </xf>
    <xf numFmtId="2" fontId="5" fillId="0" borderId="1"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E4D5"/>
      <rgbColor rgb="FFDEEAF6"/>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99999"/>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15"/>
  <sheetViews>
    <sheetView showGridLines="0" tabSelected="1" zoomScaleNormal="100" workbookViewId="0">
      <selection activeCell="E5" sqref="E5"/>
    </sheetView>
  </sheetViews>
  <sheetFormatPr baseColWidth="10" defaultColWidth="8.6640625" defaultRowHeight="15" x14ac:dyDescent="0.2"/>
  <cols>
    <col min="1" max="1" width="10" customWidth="1"/>
    <col min="2" max="2" width="48" customWidth="1"/>
    <col min="3" max="4" width="12" customWidth="1"/>
  </cols>
  <sheetData>
    <row r="1" spans="1:4" ht="18" x14ac:dyDescent="0.2">
      <c r="A1" s="6" t="s">
        <v>0</v>
      </c>
    </row>
    <row r="2" spans="1:4" x14ac:dyDescent="0.2">
      <c r="A2" s="7"/>
    </row>
    <row r="3" spans="1:4" ht="24" customHeight="1" x14ac:dyDescent="0.2">
      <c r="A3" s="8" t="s">
        <v>1</v>
      </c>
      <c r="B3" s="8" t="s">
        <v>2</v>
      </c>
      <c r="C3" s="8" t="s">
        <v>3</v>
      </c>
      <c r="D3" s="8" t="s">
        <v>4</v>
      </c>
    </row>
    <row r="4" spans="1:4" x14ac:dyDescent="0.2">
      <c r="A4" s="9" t="s">
        <v>5</v>
      </c>
      <c r="B4" s="10" t="s">
        <v>6</v>
      </c>
      <c r="C4" s="11">
        <v>5</v>
      </c>
      <c r="D4" s="11">
        <v>5</v>
      </c>
    </row>
    <row r="5" spans="1:4" x14ac:dyDescent="0.2">
      <c r="A5" s="9" t="s">
        <v>7</v>
      </c>
      <c r="B5" s="10" t="s">
        <v>8</v>
      </c>
      <c r="C5" s="11">
        <v>5</v>
      </c>
      <c r="D5" s="11">
        <v>5</v>
      </c>
    </row>
    <row r="6" spans="1:4" x14ac:dyDescent="0.2">
      <c r="A6" s="9" t="s">
        <v>9</v>
      </c>
      <c r="B6" s="10" t="s">
        <v>10</v>
      </c>
      <c r="C6" s="11">
        <v>8</v>
      </c>
      <c r="D6" s="11">
        <v>5</v>
      </c>
    </row>
    <row r="7" spans="1:4" x14ac:dyDescent="0.2">
      <c r="A7" s="9" t="s">
        <v>11</v>
      </c>
      <c r="B7" s="10" t="s">
        <v>12</v>
      </c>
      <c r="C7" s="11">
        <v>3</v>
      </c>
      <c r="D7" s="11">
        <v>4</v>
      </c>
    </row>
    <row r="8" spans="1:4" x14ac:dyDescent="0.2">
      <c r="A8" s="9" t="s">
        <v>13</v>
      </c>
      <c r="B8" s="10" t="s">
        <v>14</v>
      </c>
      <c r="C8" s="11">
        <v>13</v>
      </c>
      <c r="D8" s="11">
        <v>3</v>
      </c>
    </row>
    <row r="9" spans="1:4" x14ac:dyDescent="0.2">
      <c r="A9" s="9" t="s">
        <v>15</v>
      </c>
      <c r="B9" s="10" t="s">
        <v>16</v>
      </c>
      <c r="C9" s="11">
        <v>5</v>
      </c>
      <c r="D9" s="11">
        <v>2</v>
      </c>
    </row>
    <row r="10" spans="1:4" x14ac:dyDescent="0.2">
      <c r="A10" s="9" t="s">
        <v>17</v>
      </c>
      <c r="B10" s="10" t="s">
        <v>18</v>
      </c>
      <c r="C10" s="11">
        <v>5</v>
      </c>
      <c r="D10" s="11">
        <v>3</v>
      </c>
    </row>
    <row r="11" spans="1:4" x14ac:dyDescent="0.2">
      <c r="A11" s="9" t="s">
        <v>19</v>
      </c>
      <c r="B11" s="10" t="s">
        <v>20</v>
      </c>
      <c r="C11" s="11">
        <v>3</v>
      </c>
      <c r="D11" s="11">
        <v>4</v>
      </c>
    </row>
    <row r="12" spans="1:4" x14ac:dyDescent="0.2">
      <c r="A12" s="9" t="s">
        <v>21</v>
      </c>
      <c r="B12" s="10" t="s">
        <v>22</v>
      </c>
      <c r="C12" s="11">
        <v>13</v>
      </c>
      <c r="D12" s="11">
        <v>2</v>
      </c>
    </row>
    <row r="13" spans="1:4" x14ac:dyDescent="0.2">
      <c r="A13" s="9" t="s">
        <v>23</v>
      </c>
      <c r="B13" s="10" t="s">
        <v>24</v>
      </c>
      <c r="C13" s="11">
        <v>8</v>
      </c>
      <c r="D13" s="11">
        <v>1</v>
      </c>
    </row>
    <row r="15" spans="1:4" ht="15" customHeight="1" x14ac:dyDescent="0.2">
      <c r="A15" s="5" t="s">
        <v>25</v>
      </c>
      <c r="B15" s="5"/>
      <c r="C15" s="12">
        <v>20</v>
      </c>
    </row>
  </sheetData>
  <mergeCells count="1">
    <mergeCell ref="A15:B15"/>
  </mergeCells>
  <pageMargins left="0.75" right="0.75" top="1" bottom="1"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20"/>
  <sheetViews>
    <sheetView showGridLines="0" zoomScaleNormal="100" workbookViewId="0"/>
  </sheetViews>
  <sheetFormatPr baseColWidth="10" defaultColWidth="8.6640625" defaultRowHeight="15" x14ac:dyDescent="0.2"/>
  <cols>
    <col min="1" max="1" width="9" customWidth="1"/>
    <col min="2" max="2" width="8" customWidth="1"/>
    <col min="3" max="3" width="44" customWidth="1"/>
    <col min="4" max="5" width="10" customWidth="1"/>
    <col min="6" max="6" width="18" customWidth="1"/>
    <col min="7" max="7" width="14" customWidth="1"/>
  </cols>
  <sheetData>
    <row r="1" spans="1:7" ht="18" x14ac:dyDescent="0.2">
      <c r="A1" s="6" t="s">
        <v>26</v>
      </c>
    </row>
    <row r="2" spans="1:7" x14ac:dyDescent="0.2">
      <c r="A2" s="7" t="s">
        <v>27</v>
      </c>
    </row>
    <row r="3" spans="1:7" ht="36" customHeight="1" x14ac:dyDescent="0.2">
      <c r="A3" s="8" t="s">
        <v>28</v>
      </c>
      <c r="B3" s="8" t="s">
        <v>1</v>
      </c>
      <c r="C3" s="8" t="s">
        <v>2</v>
      </c>
      <c r="D3" s="8" t="s">
        <v>3</v>
      </c>
      <c r="E3" s="8" t="s">
        <v>4</v>
      </c>
      <c r="F3" s="8" t="s">
        <v>29</v>
      </c>
      <c r="G3" s="8" t="s">
        <v>30</v>
      </c>
    </row>
    <row r="4" spans="1:7" x14ac:dyDescent="0.2">
      <c r="A4" s="13">
        <v>1</v>
      </c>
      <c r="B4" s="9" t="s">
        <v>11</v>
      </c>
      <c r="C4" s="14" t="str">
        <f>INDEX(Du_lieu!B$4:B$13,MATCH($B4,Du_lieu!$A$4:$A$13,0))</f>
        <v>Xác nhận lịch hẹn qua SMS</v>
      </c>
      <c r="D4" s="13">
        <f>INDEX(Du_lieu!C$4:C$13,MATCH($B4,Du_lieu!$A$4:$A$13,0))</f>
        <v>3</v>
      </c>
      <c r="E4" s="13">
        <f>INDEX(Du_lieu!D$4:D$13,MATCH($B4,Du_lieu!$A$4:$A$13,0))</f>
        <v>4</v>
      </c>
      <c r="F4" s="15">
        <f t="shared" ref="F4:F13" si="0">ROUND(E4/D4,2)</f>
        <v>1.33</v>
      </c>
      <c r="G4" s="9" t="str">
        <f t="shared" ref="G4:G13" si="1">IF(F4&lt;=SMALL($F$4:$F$13,2),"Loại","Giữ")</f>
        <v>Giữ</v>
      </c>
    </row>
    <row r="5" spans="1:7" x14ac:dyDescent="0.2">
      <c r="A5" s="13">
        <v>2</v>
      </c>
      <c r="B5" s="9" t="s">
        <v>19</v>
      </c>
      <c r="C5" s="14" t="str">
        <f>INDEX(Du_lieu!B$4:B$13,MATCH($B5,Du_lieu!$A$4:$A$13,0))</f>
        <v>Nhắc lịch tự động trước 24 giờ</v>
      </c>
      <c r="D5" s="13">
        <f>INDEX(Du_lieu!C$4:C$13,MATCH($B5,Du_lieu!$A$4:$A$13,0))</f>
        <v>3</v>
      </c>
      <c r="E5" s="13">
        <f>INDEX(Du_lieu!D$4:D$13,MATCH($B5,Du_lieu!$A$4:$A$13,0))</f>
        <v>4</v>
      </c>
      <c r="F5" s="15">
        <f t="shared" si="0"/>
        <v>1.33</v>
      </c>
      <c r="G5" s="9" t="str">
        <f t="shared" si="1"/>
        <v>Giữ</v>
      </c>
    </row>
    <row r="6" spans="1:7" x14ac:dyDescent="0.2">
      <c r="A6" s="13">
        <v>3</v>
      </c>
      <c r="B6" s="9" t="s">
        <v>5</v>
      </c>
      <c r="C6" s="14" t="str">
        <f>INDEX(Du_lieu!B$4:B$13,MATCH($B6,Du_lieu!$A$4:$A$13,0))</f>
        <v>Đăng ký / đăng nhập bằng số điện thoại</v>
      </c>
      <c r="D6" s="13">
        <f>INDEX(Du_lieu!C$4:C$13,MATCH($B6,Du_lieu!$A$4:$A$13,0))</f>
        <v>5</v>
      </c>
      <c r="E6" s="13">
        <f>INDEX(Du_lieu!D$4:D$13,MATCH($B6,Du_lieu!$A$4:$A$13,0))</f>
        <v>5</v>
      </c>
      <c r="F6" s="15">
        <f t="shared" si="0"/>
        <v>1</v>
      </c>
      <c r="G6" s="9" t="str">
        <f t="shared" si="1"/>
        <v>Giữ</v>
      </c>
    </row>
    <row r="7" spans="1:7" x14ac:dyDescent="0.2">
      <c r="A7" s="13">
        <v>4</v>
      </c>
      <c r="B7" s="9" t="s">
        <v>7</v>
      </c>
      <c r="C7" s="14" t="str">
        <f>INDEX(Du_lieu!B$4:B$13,MATCH($B7,Du_lieu!$A$4:$A$13,0))</f>
        <v>Tìm bác sĩ theo chuyên khoa</v>
      </c>
      <c r="D7" s="13">
        <f>INDEX(Du_lieu!C$4:C$13,MATCH($B7,Du_lieu!$A$4:$A$13,0))</f>
        <v>5</v>
      </c>
      <c r="E7" s="13">
        <f>INDEX(Du_lieu!D$4:D$13,MATCH($B7,Du_lieu!$A$4:$A$13,0))</f>
        <v>5</v>
      </c>
      <c r="F7" s="15">
        <f t="shared" si="0"/>
        <v>1</v>
      </c>
      <c r="G7" s="9" t="str">
        <f t="shared" si="1"/>
        <v>Giữ</v>
      </c>
    </row>
    <row r="8" spans="1:7" x14ac:dyDescent="0.2">
      <c r="A8" s="13">
        <v>5</v>
      </c>
      <c r="B8" s="9" t="s">
        <v>9</v>
      </c>
      <c r="C8" s="14" t="str">
        <f>INDEX(Du_lieu!B$4:B$13,MATCH($B8,Du_lieu!$A$4:$A$13,0))</f>
        <v>Đặt lịch và chọn khung giờ</v>
      </c>
      <c r="D8" s="13">
        <f>INDEX(Du_lieu!C$4:C$13,MATCH($B8,Du_lieu!$A$4:$A$13,0))</f>
        <v>8</v>
      </c>
      <c r="E8" s="13">
        <f>INDEX(Du_lieu!D$4:D$13,MATCH($B8,Du_lieu!$A$4:$A$13,0))</f>
        <v>5</v>
      </c>
      <c r="F8" s="15">
        <f t="shared" si="0"/>
        <v>0.63</v>
      </c>
      <c r="G8" s="9" t="str">
        <f t="shared" si="1"/>
        <v>Giữ</v>
      </c>
    </row>
    <row r="9" spans="1:7" x14ac:dyDescent="0.2">
      <c r="A9" s="13">
        <v>6</v>
      </c>
      <c r="B9" s="9" t="s">
        <v>17</v>
      </c>
      <c r="C9" s="14" t="str">
        <f>INDEX(Du_lieu!B$4:B$13,MATCH($B9,Du_lieu!$A$4:$A$13,0))</f>
        <v>Xem lịch sử khám bệnh</v>
      </c>
      <c r="D9" s="13">
        <f>INDEX(Du_lieu!C$4:C$13,MATCH($B9,Du_lieu!$A$4:$A$13,0))</f>
        <v>5</v>
      </c>
      <c r="E9" s="13">
        <f>INDEX(Du_lieu!D$4:D$13,MATCH($B9,Du_lieu!$A$4:$A$13,0))</f>
        <v>3</v>
      </c>
      <c r="F9" s="15">
        <f t="shared" si="0"/>
        <v>0.6</v>
      </c>
      <c r="G9" s="9" t="str">
        <f t="shared" si="1"/>
        <v>Giữ</v>
      </c>
    </row>
    <row r="10" spans="1:7" x14ac:dyDescent="0.2">
      <c r="A10" s="13">
        <v>7</v>
      </c>
      <c r="B10" s="9" t="s">
        <v>15</v>
      </c>
      <c r="C10" s="14" t="str">
        <f>INDEX(Du_lieu!B$4:B$13,MATCH($B10,Du_lieu!$A$4:$A$13,0))</f>
        <v>Đánh giá và chấm sao bác sĩ</v>
      </c>
      <c r="D10" s="13">
        <f>INDEX(Du_lieu!C$4:C$13,MATCH($B10,Du_lieu!$A$4:$A$13,0))</f>
        <v>5</v>
      </c>
      <c r="E10" s="13">
        <f>INDEX(Du_lieu!D$4:D$13,MATCH($B10,Du_lieu!$A$4:$A$13,0))</f>
        <v>2</v>
      </c>
      <c r="F10" s="15">
        <f t="shared" si="0"/>
        <v>0.4</v>
      </c>
      <c r="G10" s="9" t="str">
        <f t="shared" si="1"/>
        <v>Giữ</v>
      </c>
    </row>
    <row r="11" spans="1:7" x14ac:dyDescent="0.2">
      <c r="A11" s="13">
        <v>8</v>
      </c>
      <c r="B11" s="9" t="s">
        <v>13</v>
      </c>
      <c r="C11" s="14" t="str">
        <f>INDEX(Du_lieu!B$4:B$13,MATCH($B11,Du_lieu!$A$4:$A$13,0))</f>
        <v>Thanh toán online qua ví điện tử</v>
      </c>
      <c r="D11" s="13">
        <f>INDEX(Du_lieu!C$4:C$13,MATCH($B11,Du_lieu!$A$4:$A$13,0))</f>
        <v>13</v>
      </c>
      <c r="E11" s="13">
        <f>INDEX(Du_lieu!D$4:D$13,MATCH($B11,Du_lieu!$A$4:$A$13,0))</f>
        <v>3</v>
      </c>
      <c r="F11" s="15">
        <f t="shared" si="0"/>
        <v>0.23</v>
      </c>
      <c r="G11" s="9" t="str">
        <f t="shared" si="1"/>
        <v>Giữ</v>
      </c>
    </row>
    <row r="12" spans="1:7" x14ac:dyDescent="0.2">
      <c r="A12" s="13">
        <v>9</v>
      </c>
      <c r="B12" s="9" t="s">
        <v>21</v>
      </c>
      <c r="C12" s="14" t="str">
        <f>INDEX(Du_lieu!B$4:B$13,MATCH($B12,Du_lieu!$A$4:$A$13,0))</f>
        <v>Tư vấn video call với bác sĩ</v>
      </c>
      <c r="D12" s="13">
        <f>INDEX(Du_lieu!C$4:C$13,MATCH($B12,Du_lieu!$A$4:$A$13,0))</f>
        <v>13</v>
      </c>
      <c r="E12" s="13">
        <f>INDEX(Du_lieu!D$4:D$13,MATCH($B12,Du_lieu!$A$4:$A$13,0))</f>
        <v>2</v>
      </c>
      <c r="F12" s="15">
        <f t="shared" si="0"/>
        <v>0.15</v>
      </c>
      <c r="G12" s="9" t="str">
        <f t="shared" si="1"/>
        <v>Loại</v>
      </c>
    </row>
    <row r="13" spans="1:7" x14ac:dyDescent="0.2">
      <c r="A13" s="13">
        <v>10</v>
      </c>
      <c r="B13" s="9" t="s">
        <v>23</v>
      </c>
      <c r="C13" s="14" t="str">
        <f>INDEX(Du_lieu!B$4:B$13,MATCH($B13,Du_lieu!$A$4:$A$13,0))</f>
        <v>Bảng thống kê doanh thu cho phòng khám</v>
      </c>
      <c r="D13" s="13">
        <f>INDEX(Du_lieu!C$4:C$13,MATCH($B13,Du_lieu!$A$4:$A$13,0))</f>
        <v>8</v>
      </c>
      <c r="E13" s="13">
        <f>INDEX(Du_lieu!D$4:D$13,MATCH($B13,Du_lieu!$A$4:$A$13,0))</f>
        <v>1</v>
      </c>
      <c r="F13" s="15">
        <f t="shared" si="0"/>
        <v>0.13</v>
      </c>
      <c r="G13" s="9" t="str">
        <f t="shared" si="1"/>
        <v>Loại</v>
      </c>
    </row>
    <row r="15" spans="1:7" ht="15" customHeight="1" x14ac:dyDescent="0.2">
      <c r="A15" s="5" t="s">
        <v>31</v>
      </c>
      <c r="B15" s="5"/>
      <c r="C15" s="5"/>
      <c r="D15" s="16">
        <f>SUMIF(G4:G13,"Giữ",D4:D13)</f>
        <v>47</v>
      </c>
    </row>
    <row r="17" spans="1:7" x14ac:dyDescent="0.2">
      <c r="A17" s="17" t="s">
        <v>32</v>
      </c>
    </row>
    <row r="18" spans="1:7" ht="24" customHeight="1" x14ac:dyDescent="0.2">
      <c r="A18" s="8" t="s">
        <v>1</v>
      </c>
      <c r="B18" s="4" t="s">
        <v>33</v>
      </c>
      <c r="C18" s="4"/>
      <c r="D18" s="4" t="s">
        <v>34</v>
      </c>
      <c r="E18" s="4"/>
      <c r="F18" s="4"/>
      <c r="G18" s="4"/>
    </row>
    <row r="19" spans="1:7" ht="45.75" customHeight="1" x14ac:dyDescent="0.2">
      <c r="A19" s="18" t="s">
        <v>21</v>
      </c>
      <c r="B19" s="3" t="s">
        <v>22</v>
      </c>
      <c r="C19" s="3"/>
      <c r="D19" s="2" t="s">
        <v>35</v>
      </c>
      <c r="E19" s="2"/>
      <c r="F19" s="2"/>
      <c r="G19" s="2"/>
    </row>
    <row r="20" spans="1:7" ht="45.75" customHeight="1" x14ac:dyDescent="0.2">
      <c r="A20" s="18" t="s">
        <v>23</v>
      </c>
      <c r="B20" s="3" t="s">
        <v>24</v>
      </c>
      <c r="C20" s="3"/>
      <c r="D20" s="2" t="s">
        <v>36</v>
      </c>
      <c r="E20" s="2"/>
      <c r="F20" s="2"/>
      <c r="G20" s="2"/>
    </row>
  </sheetData>
  <mergeCells count="7">
    <mergeCell ref="B20:C20"/>
    <mergeCell ref="D20:G20"/>
    <mergeCell ref="A15:C15"/>
    <mergeCell ref="B18:C18"/>
    <mergeCell ref="D18:G18"/>
    <mergeCell ref="B19:C19"/>
    <mergeCell ref="D19:G19"/>
  </mergeCells>
  <pageMargins left="0.75" right="0.75" top="1" bottom="1" header="0.511811023622047" footer="0.511811023622047"/>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26"/>
  <sheetViews>
    <sheetView showGridLines="0" zoomScaleNormal="100" workbookViewId="0"/>
  </sheetViews>
  <sheetFormatPr baseColWidth="10" defaultColWidth="8.6640625" defaultRowHeight="15" x14ac:dyDescent="0.2"/>
  <cols>
    <col min="1" max="1" width="12" customWidth="1"/>
    <col min="2" max="2" width="40" customWidth="1"/>
    <col min="3" max="3" width="12" customWidth="1"/>
    <col min="4" max="4" width="14" customWidth="1"/>
    <col min="5" max="5" width="12" customWidth="1"/>
    <col min="6" max="6" width="60" customWidth="1"/>
  </cols>
  <sheetData>
    <row r="1" spans="1:5" ht="18" x14ac:dyDescent="0.2">
      <c r="A1" s="6" t="s">
        <v>37</v>
      </c>
    </row>
    <row r="2" spans="1:5" x14ac:dyDescent="0.2">
      <c r="A2" s="7" t="s">
        <v>38</v>
      </c>
    </row>
    <row r="4" spans="1:5" x14ac:dyDescent="0.2">
      <c r="A4" s="17" t="s">
        <v>39</v>
      </c>
    </row>
    <row r="5" spans="1:5" ht="24" customHeight="1" x14ac:dyDescent="0.2">
      <c r="A5" s="8" t="s">
        <v>1</v>
      </c>
      <c r="B5" s="8" t="s">
        <v>2</v>
      </c>
      <c r="C5" s="8" t="s">
        <v>3</v>
      </c>
      <c r="D5" s="8" t="s">
        <v>40</v>
      </c>
      <c r="E5" s="8" t="s">
        <v>41</v>
      </c>
    </row>
    <row r="6" spans="1:5" x14ac:dyDescent="0.2">
      <c r="A6" s="9" t="s">
        <v>11</v>
      </c>
      <c r="B6" s="14" t="str">
        <f>INDEX(Du_lieu!$B$4:$B$13,MATCH($A6,Du_lieu!$A$4:$A$13,0))</f>
        <v>Xác nhận lịch hẹn qua SMS</v>
      </c>
      <c r="C6" s="13">
        <f>INDEX(Du_lieu!$C$4:$C$13,MATCH($A6,Du_lieu!$A$4:$A$13,0))</f>
        <v>3</v>
      </c>
      <c r="D6" s="19">
        <f>INDEX(Buoc1_2!$F$4:$F$13,MATCH($A6,Buoc1_2!$B$4:$B$13,0))</f>
        <v>1.33</v>
      </c>
      <c r="E6" s="11">
        <v>2</v>
      </c>
    </row>
    <row r="7" spans="1:5" x14ac:dyDescent="0.2">
      <c r="A7" s="9" t="s">
        <v>19</v>
      </c>
      <c r="B7" s="14" t="str">
        <f>INDEX(Du_lieu!$B$4:$B$13,MATCH($A7,Du_lieu!$A$4:$A$13,0))</f>
        <v>Nhắc lịch tự động trước 24 giờ</v>
      </c>
      <c r="C7" s="13">
        <f>INDEX(Du_lieu!$C$4:$C$13,MATCH($A7,Du_lieu!$A$4:$A$13,0))</f>
        <v>3</v>
      </c>
      <c r="D7" s="19">
        <f>INDEX(Buoc1_2!$F$4:$F$13,MATCH($A7,Buoc1_2!$B$4:$B$13,0))</f>
        <v>1.33</v>
      </c>
      <c r="E7" s="11">
        <v>2</v>
      </c>
    </row>
    <row r="8" spans="1:5" x14ac:dyDescent="0.2">
      <c r="A8" s="9" t="s">
        <v>5</v>
      </c>
      <c r="B8" s="14" t="str">
        <f>INDEX(Du_lieu!$B$4:$B$13,MATCH($A8,Du_lieu!$A$4:$A$13,0))</f>
        <v>Đăng ký / đăng nhập bằng số điện thoại</v>
      </c>
      <c r="C8" s="13">
        <f>INDEX(Du_lieu!$C$4:$C$13,MATCH($A8,Du_lieu!$A$4:$A$13,0))</f>
        <v>5</v>
      </c>
      <c r="D8" s="19">
        <f>INDEX(Buoc1_2!$F$4:$F$13,MATCH($A8,Buoc1_2!$B$4:$B$13,0))</f>
        <v>1</v>
      </c>
      <c r="E8" s="11">
        <v>1</v>
      </c>
    </row>
    <row r="9" spans="1:5" x14ac:dyDescent="0.2">
      <c r="A9" s="9" t="s">
        <v>7</v>
      </c>
      <c r="B9" s="14" t="str">
        <f>INDEX(Du_lieu!$B$4:$B$13,MATCH($A9,Du_lieu!$A$4:$A$13,0))</f>
        <v>Tìm bác sĩ theo chuyên khoa</v>
      </c>
      <c r="C9" s="13">
        <f>INDEX(Du_lieu!$C$4:$C$13,MATCH($A9,Du_lieu!$A$4:$A$13,0))</f>
        <v>5</v>
      </c>
      <c r="D9" s="19">
        <f>INDEX(Buoc1_2!$F$4:$F$13,MATCH($A9,Buoc1_2!$B$4:$B$13,0))</f>
        <v>1</v>
      </c>
      <c r="E9" s="11">
        <v>1</v>
      </c>
    </row>
    <row r="10" spans="1:5" x14ac:dyDescent="0.2">
      <c r="A10" s="9" t="s">
        <v>9</v>
      </c>
      <c r="B10" s="14" t="str">
        <f>INDEX(Du_lieu!$B$4:$B$13,MATCH($A10,Du_lieu!$A$4:$A$13,0))</f>
        <v>Đặt lịch và chọn khung giờ</v>
      </c>
      <c r="C10" s="13">
        <f>INDEX(Du_lieu!$C$4:$C$13,MATCH($A10,Du_lieu!$A$4:$A$13,0))</f>
        <v>8</v>
      </c>
      <c r="D10" s="19">
        <f>INDEX(Buoc1_2!$F$4:$F$13,MATCH($A10,Buoc1_2!$B$4:$B$13,0))</f>
        <v>0.63</v>
      </c>
      <c r="E10" s="11">
        <v>1</v>
      </c>
    </row>
    <row r="11" spans="1:5" x14ac:dyDescent="0.2">
      <c r="A11" s="9" t="s">
        <v>17</v>
      </c>
      <c r="B11" s="14" t="str">
        <f>INDEX(Du_lieu!$B$4:$B$13,MATCH($A11,Du_lieu!$A$4:$A$13,0))</f>
        <v>Xem lịch sử khám bệnh</v>
      </c>
      <c r="C11" s="13">
        <f>INDEX(Du_lieu!$C$4:$C$13,MATCH($A11,Du_lieu!$A$4:$A$13,0))</f>
        <v>5</v>
      </c>
      <c r="D11" s="19">
        <f>INDEX(Buoc1_2!$F$4:$F$13,MATCH($A11,Buoc1_2!$B$4:$B$13,0))</f>
        <v>0.6</v>
      </c>
      <c r="E11" s="11">
        <v>2</v>
      </c>
    </row>
    <row r="12" spans="1:5" x14ac:dyDescent="0.2">
      <c r="A12" s="9" t="s">
        <v>15</v>
      </c>
      <c r="B12" s="14" t="str">
        <f>INDEX(Du_lieu!$B$4:$B$13,MATCH($A12,Du_lieu!$A$4:$A$13,0))</f>
        <v>Đánh giá và chấm sao bác sĩ</v>
      </c>
      <c r="C12" s="13">
        <f>INDEX(Du_lieu!$C$4:$C$13,MATCH($A12,Du_lieu!$A$4:$A$13,0))</f>
        <v>5</v>
      </c>
      <c r="D12" s="19">
        <f>INDEX(Buoc1_2!$F$4:$F$13,MATCH($A12,Buoc1_2!$B$4:$B$13,0))</f>
        <v>0.4</v>
      </c>
      <c r="E12" s="11">
        <v>2</v>
      </c>
    </row>
    <row r="13" spans="1:5" x14ac:dyDescent="0.2">
      <c r="A13" s="9" t="s">
        <v>13</v>
      </c>
      <c r="B13" s="14" t="str">
        <f>INDEX(Du_lieu!$B$4:$B$13,MATCH($A13,Du_lieu!$A$4:$A$13,0))</f>
        <v>Thanh toán online qua ví điện tử</v>
      </c>
      <c r="C13" s="13">
        <f>INDEX(Du_lieu!$C$4:$C$13,MATCH($A13,Du_lieu!$A$4:$A$13,0))</f>
        <v>13</v>
      </c>
      <c r="D13" s="19">
        <f>INDEX(Buoc1_2!$F$4:$F$13,MATCH($A13,Buoc1_2!$B$4:$B$13,0))</f>
        <v>0.23</v>
      </c>
      <c r="E13" s="11">
        <v>3</v>
      </c>
    </row>
    <row r="15" spans="1:5" x14ac:dyDescent="0.2">
      <c r="A15" s="17" t="s">
        <v>42</v>
      </c>
    </row>
    <row r="16" spans="1:5" ht="24" customHeight="1" x14ac:dyDescent="0.2">
      <c r="A16" s="8" t="s">
        <v>41</v>
      </c>
      <c r="B16" s="8" t="s">
        <v>43</v>
      </c>
      <c r="C16" s="8" t="s">
        <v>44</v>
      </c>
      <c r="D16" s="8" t="s">
        <v>45</v>
      </c>
      <c r="E16" s="8" t="s">
        <v>46</v>
      </c>
    </row>
    <row r="17" spans="1:6" x14ac:dyDescent="0.2">
      <c r="A17" s="20">
        <v>1</v>
      </c>
      <c r="B17" s="16">
        <f>SUMIF($E$6:$E$13,A17,$C$6:$C$13)</f>
        <v>18</v>
      </c>
      <c r="C17" s="13">
        <f>Du_lieu!$C$15</f>
        <v>20</v>
      </c>
      <c r="D17" s="13">
        <f>C17-B17</f>
        <v>2</v>
      </c>
      <c r="E17" s="9" t="str">
        <f>IF(B17&lt;=C17,"Đạt","Vượt")</f>
        <v>Đạt</v>
      </c>
    </row>
    <row r="18" spans="1:6" x14ac:dyDescent="0.2">
      <c r="A18" s="20">
        <v>2</v>
      </c>
      <c r="B18" s="16">
        <f>SUMIF($E$6:$E$13,A18,$C$6:$C$13)</f>
        <v>16</v>
      </c>
      <c r="C18" s="13">
        <f>Du_lieu!$C$15</f>
        <v>20</v>
      </c>
      <c r="D18" s="13">
        <f>C18-B18</f>
        <v>4</v>
      </c>
      <c r="E18" s="9" t="str">
        <f>IF(B18&lt;=C18,"Đạt","Vượt")</f>
        <v>Đạt</v>
      </c>
    </row>
    <row r="19" spans="1:6" x14ac:dyDescent="0.2">
      <c r="A19" s="20">
        <v>3</v>
      </c>
      <c r="B19" s="16">
        <f>SUMIF($E$6:$E$13,A19,$C$6:$C$13)</f>
        <v>13</v>
      </c>
      <c r="C19" s="13">
        <f>Du_lieu!$C$15</f>
        <v>20</v>
      </c>
      <c r="D19" s="13">
        <f>C19-B19</f>
        <v>7</v>
      </c>
      <c r="E19" s="9" t="str">
        <f>IF(B19&lt;=C19,"Đạt","Vượt")</f>
        <v>Đạt</v>
      </c>
    </row>
    <row r="20" spans="1:6" x14ac:dyDescent="0.2">
      <c r="A20" s="21" t="s">
        <v>47</v>
      </c>
      <c r="B20" s="16">
        <f>SUM(B17:B19)</f>
        <v>47</v>
      </c>
    </row>
    <row r="22" spans="1:6" x14ac:dyDescent="0.2">
      <c r="A22" s="17" t="s">
        <v>48</v>
      </c>
    </row>
    <row r="23" spans="1:6" ht="30" customHeight="1" x14ac:dyDescent="0.2">
      <c r="A23" s="8" t="s">
        <v>41</v>
      </c>
      <c r="B23" s="8" t="s">
        <v>49</v>
      </c>
      <c r="C23" s="4" t="s">
        <v>43</v>
      </c>
      <c r="D23" s="4"/>
      <c r="E23" s="4"/>
      <c r="F23" s="8" t="s">
        <v>50</v>
      </c>
    </row>
    <row r="24" spans="1:6" ht="61.5" customHeight="1" x14ac:dyDescent="0.2">
      <c r="A24" s="20">
        <v>1</v>
      </c>
      <c r="B24" s="14" t="s">
        <v>51</v>
      </c>
      <c r="C24" s="1">
        <f>B17</f>
        <v>18</v>
      </c>
      <c r="D24" s="1"/>
      <c r="E24" s="1"/>
      <c r="F24" s="14" t="s">
        <v>52</v>
      </c>
    </row>
    <row r="25" spans="1:6" ht="61.5" customHeight="1" x14ac:dyDescent="0.2">
      <c r="A25" s="20">
        <v>2</v>
      </c>
      <c r="B25" s="14" t="s">
        <v>53</v>
      </c>
      <c r="C25" s="1">
        <f>B18</f>
        <v>16</v>
      </c>
      <c r="D25" s="1"/>
      <c r="E25" s="1"/>
      <c r="F25" s="14" t="s">
        <v>54</v>
      </c>
    </row>
    <row r="26" spans="1:6" ht="61.5" customHeight="1" x14ac:dyDescent="0.2">
      <c r="A26" s="20">
        <v>3</v>
      </c>
      <c r="B26" s="14" t="s">
        <v>55</v>
      </c>
      <c r="C26" s="1">
        <f>B19</f>
        <v>13</v>
      </c>
      <c r="D26" s="1"/>
      <c r="E26" s="1"/>
      <c r="F26" s="14" t="s">
        <v>56</v>
      </c>
    </row>
  </sheetData>
  <mergeCells count="4">
    <mergeCell ref="C23:E23"/>
    <mergeCell ref="C24:E24"/>
    <mergeCell ref="C25:E25"/>
    <mergeCell ref="C26:E26"/>
  </mergeCells>
  <pageMargins left="0.75" right="0.75" top="1" bottom="1" header="0.511811023622047" footer="0.511811023622047"/>
  <pageSetup paperSize="9"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D16"/>
  <sheetViews>
    <sheetView showGridLines="0" zoomScaleNormal="100" workbookViewId="0"/>
  </sheetViews>
  <sheetFormatPr baseColWidth="10" defaultColWidth="8.6640625" defaultRowHeight="15" x14ac:dyDescent="0.2"/>
  <cols>
    <col min="1" max="1" width="56" customWidth="1"/>
    <col min="2" max="2" width="18" customWidth="1"/>
    <col min="3" max="3" width="20" customWidth="1"/>
    <col min="4" max="4" width="12" customWidth="1"/>
  </cols>
  <sheetData>
    <row r="1" spans="1:4" ht="18" x14ac:dyDescent="0.2">
      <c r="A1" s="6" t="s">
        <v>57</v>
      </c>
    </row>
    <row r="3" spans="1:4" ht="24" customHeight="1" x14ac:dyDescent="0.2">
      <c r="A3" s="8" t="s">
        <v>58</v>
      </c>
      <c r="B3" s="8" t="s">
        <v>59</v>
      </c>
      <c r="C3" s="8" t="s">
        <v>60</v>
      </c>
      <c r="D3" s="8" t="s">
        <v>61</v>
      </c>
    </row>
    <row r="4" spans="1:4" ht="25.5" customHeight="1" x14ac:dyDescent="0.2">
      <c r="A4" s="22" t="s">
        <v>62</v>
      </c>
      <c r="B4" s="23">
        <v>0.15</v>
      </c>
      <c r="C4" s="19">
        <f>INDEX(Buoc1_2!$F$4:$F$13,MATCH("F09",Buoc1_2!$B$4:$B$13,0))</f>
        <v>0.15</v>
      </c>
      <c r="D4" s="9" t="str">
        <f t="shared" ref="D4:D11" si="0">IF(C4=B4,"Đạt","Chưa đạt")</f>
        <v>Đạt</v>
      </c>
    </row>
    <row r="5" spans="1:4" ht="25.5" customHeight="1" x14ac:dyDescent="0.2">
      <c r="A5" s="22" t="s">
        <v>63</v>
      </c>
      <c r="B5" s="23">
        <v>0.13</v>
      </c>
      <c r="C5" s="19">
        <f>INDEX(Buoc1_2!$F$4:$F$13,MATCH("F10",Buoc1_2!$B$4:$B$13,0))</f>
        <v>0.13</v>
      </c>
      <c r="D5" s="9" t="str">
        <f t="shared" si="0"/>
        <v>Đạt</v>
      </c>
    </row>
    <row r="6" spans="1:4" ht="25.5" customHeight="1" x14ac:dyDescent="0.2">
      <c r="A6" s="22" t="s">
        <v>64</v>
      </c>
      <c r="B6" s="11">
        <v>2</v>
      </c>
      <c r="C6" s="13">
        <f>COUNTIF(Buoc1_2!$G$4:$G$13,"Loại")</f>
        <v>2</v>
      </c>
      <c r="D6" s="9" t="str">
        <f t="shared" si="0"/>
        <v>Đạt</v>
      </c>
    </row>
    <row r="7" spans="1:4" ht="25.5" customHeight="1" x14ac:dyDescent="0.2">
      <c r="A7" s="22" t="s">
        <v>65</v>
      </c>
      <c r="B7" s="11">
        <v>2</v>
      </c>
      <c r="C7" s="13">
        <f>COUNTIFS(Buoc1_2!$B$4:$B$13,"F09",Buoc1_2!$G$4:$G$13,"Loại")+COUNTIFS(Buoc1_2!$B$4:$B$13,"F10",Buoc1_2!$G$4:$G$13,"Loại")</f>
        <v>2</v>
      </c>
      <c r="D7" s="9" t="str">
        <f t="shared" si="0"/>
        <v>Đạt</v>
      </c>
    </row>
    <row r="8" spans="1:4" ht="25.5" customHeight="1" x14ac:dyDescent="0.2">
      <c r="A8" s="22" t="s">
        <v>66</v>
      </c>
      <c r="B8" s="11">
        <v>47</v>
      </c>
      <c r="C8" s="13">
        <f>Buoc1_2!D15</f>
        <v>47</v>
      </c>
      <c r="D8" s="9" t="str">
        <f t="shared" si="0"/>
        <v>Đạt</v>
      </c>
    </row>
    <row r="9" spans="1:4" ht="25.5" customHeight="1" x14ac:dyDescent="0.2">
      <c r="A9" s="22" t="s">
        <v>67</v>
      </c>
      <c r="B9" s="11">
        <v>3</v>
      </c>
      <c r="C9" s="13">
        <f>ROUNDUP(Buoc1_2!D15/Du_lieu!C15,0)</f>
        <v>3</v>
      </c>
      <c r="D9" s="9" t="str">
        <f t="shared" si="0"/>
        <v>Đạt</v>
      </c>
    </row>
    <row r="10" spans="1:4" ht="25.5" customHeight="1" x14ac:dyDescent="0.2">
      <c r="A10" s="22" t="s">
        <v>68</v>
      </c>
      <c r="B10" s="11">
        <v>3</v>
      </c>
      <c r="C10" s="13">
        <f>MAX(Buoc3_4!E6:E13)</f>
        <v>3</v>
      </c>
      <c r="D10" s="9" t="str">
        <f t="shared" si="0"/>
        <v>Đạt</v>
      </c>
    </row>
    <row r="11" spans="1:4" ht="25.5" customHeight="1" x14ac:dyDescent="0.2">
      <c r="A11" s="22" t="s">
        <v>69</v>
      </c>
      <c r="B11" s="11">
        <v>18</v>
      </c>
      <c r="C11" s="13">
        <f>Buoc3_4!B17</f>
        <v>18</v>
      </c>
      <c r="D11" s="9" t="str">
        <f t="shared" si="0"/>
        <v>Đạt</v>
      </c>
    </row>
    <row r="12" spans="1:4" ht="25.5" customHeight="1" x14ac:dyDescent="0.2">
      <c r="A12" s="22" t="s">
        <v>70</v>
      </c>
      <c r="B12" s="11">
        <v>3</v>
      </c>
      <c r="C12" s="13">
        <f>COUNTIFS(Buoc3_4!A6:A13,"F01",Buoc3_4!E6:E13,1)+COUNTIFS(Buoc3_4!A6:A13,"F02",Buoc3_4!E6:E13,1)+COUNTIFS(Buoc3_4!A6:A13,"F03",Buoc3_4!E6:E13,1)</f>
        <v>3</v>
      </c>
      <c r="D12" s="9" t="str">
        <f>IF(AND(C12=B12,COUNTIF(Buoc3_4!E6:E13,1)=3),"Đạt","Chưa đạt")</f>
        <v>Đạt</v>
      </c>
    </row>
    <row r="13" spans="1:4" ht="25.5" customHeight="1" x14ac:dyDescent="0.2">
      <c r="A13" s="22" t="s">
        <v>71</v>
      </c>
      <c r="B13" s="11">
        <v>20</v>
      </c>
      <c r="C13" s="13">
        <f>MAX(Buoc3_4!B17:B19)</f>
        <v>18</v>
      </c>
      <c r="D13" s="9" t="str">
        <f>IF(C13&lt;=B13,"Đạt","Chưa đạt")</f>
        <v>Đạt</v>
      </c>
    </row>
    <row r="14" spans="1:4" ht="25.5" customHeight="1" x14ac:dyDescent="0.2">
      <c r="A14" s="22" t="s">
        <v>72</v>
      </c>
      <c r="B14" s="11">
        <v>47</v>
      </c>
      <c r="C14" s="13">
        <f>Buoc3_4!B20</f>
        <v>47</v>
      </c>
      <c r="D14" s="9" t="str">
        <f>IF(C14=B14,"Đạt","Chưa đạt")</f>
        <v>Đạt</v>
      </c>
    </row>
    <row r="16" spans="1:4" x14ac:dyDescent="0.2">
      <c r="A16" s="7" t="s">
        <v>73</v>
      </c>
    </row>
  </sheetData>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Du_lieu</vt:lpstr>
      <vt:lpstr>Buoc1_2</vt:lpstr>
      <vt:lpstr>Buoc3_4</vt:lpstr>
      <vt:lpstr>Kiem_tra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Nguyễn Thu Trang</cp:lastModifiedBy>
  <cp:revision>0</cp:revision>
  <dcterms:created xsi:type="dcterms:W3CDTF">2026-10-11T09:33:22Z</dcterms:created>
  <dcterms:modified xsi:type="dcterms:W3CDTF">2026-10-11T09:34:26Z</dcterms:modified>
  <dc:language>en-US</dc:language>
</cp:coreProperties>
</file>